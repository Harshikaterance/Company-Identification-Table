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<sst xmlns="http://schemas.openxmlformats.org/spreadsheetml/2006/main" count="37" uniqueCount="26">
  <si>
    <t>HISTORICAL SHARE PRICE ANALYSIS</t>
  </si>
  <si>
    <t>COMPANY</t>
  </si>
  <si>
    <t>CURRENT PRICE</t>
  </si>
  <si>
    <t>1st YEAR Ago</t>
  </si>
  <si>
    <t>2nd YEAR Ago</t>
  </si>
  <si>
    <t>3rdYEAR Ago</t>
  </si>
  <si>
    <t>4th YEAR Ago</t>
  </si>
  <si>
    <t>5th YEAR Ago</t>
  </si>
  <si>
    <t>Reliance Industry Limited</t>
  </si>
  <si>
    <t>Tata Consultancy Service (TCS)</t>
  </si>
  <si>
    <t>Nestle India</t>
  </si>
  <si>
    <t>Infosys</t>
  </si>
  <si>
    <t>State Bank of India (SBI)</t>
  </si>
  <si>
    <t xml:space="preserve">Value of Rs 100000  today Investment </t>
  </si>
  <si>
    <t>AMOUNT INVESTED</t>
  </si>
  <si>
    <t xml:space="preserve">Comparison with fixed return Investment </t>
  </si>
  <si>
    <t>Amount type</t>
  </si>
  <si>
    <t>Amount Invested</t>
  </si>
  <si>
    <t xml:space="preserve">1 yr ago </t>
  </si>
  <si>
    <t>2yr ago</t>
  </si>
  <si>
    <t xml:space="preserve">3 yr ago </t>
  </si>
  <si>
    <t xml:space="preserve">4 yr ago </t>
  </si>
  <si>
    <t xml:space="preserve">5 yr ago </t>
  </si>
  <si>
    <t>Savinngs 3%</t>
  </si>
  <si>
    <t>Fixed Intrest  7%</t>
  </si>
  <si>
    <t>Stock market price(Relaince Industreis ltd)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</si>
</sst>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b/>
      <sz val="15.0"/>
      <color theme="1"/>
      <name val="Times New Roman"/>
    </font>
    <font>
      <b/>
      <color theme="1"/>
      <name val="Times New Roman"/>
    </font>
    <font>
      <color theme="1"/>
      <name val="Times New Roman"/>
    </font>
    <font>
      <b/>
      <sz val="17.0"/>
      <color theme="1"/>
      <name val="Times New Roman"/>
    </font>
    <font>
      <sz val="17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</fills>
  <borders count="2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 vertical="bottom"/>
    </xf>
    <xf borderId="3" fillId="0" fontId="1" numFmtId="0" xfId="0" applyBorder="1" applyFont="1"/>
    <xf borderId="4" fillId="0" fontId="4" numFmtId="0" xfId="0" applyAlignment="1" applyBorder="1" applyFont="1">
      <alignment readingOrder="0" vertical="bottom"/>
    </xf>
    <xf borderId="5" fillId="0" fontId="4" numFmtId="4" xfId="0" applyAlignment="1" applyBorder="1" applyFont="1" applyNumberFormat="1">
      <alignment horizontal="right" readingOrder="0" shrinkToFit="0" vertical="bottom" wrapText="0"/>
    </xf>
    <xf borderId="6" fillId="0" fontId="1" numFmtId="4" xfId="0" applyAlignment="1" applyBorder="1" applyFont="1" applyNumberFormat="1">
      <alignment readingOrder="0"/>
    </xf>
    <xf borderId="5" fillId="0" fontId="1" numFmtId="4" xfId="0" applyAlignment="1" applyBorder="1" applyFont="1" applyNumberFormat="1">
      <alignment readingOrder="0"/>
    </xf>
    <xf borderId="4" fillId="0" fontId="4" numFmtId="0" xfId="0" applyAlignment="1" applyBorder="1" applyFont="1">
      <alignment vertical="bottom"/>
    </xf>
    <xf borderId="5" fillId="0" fontId="4" numFmtId="0" xfId="0" applyAlignment="1" applyBorder="1" applyFont="1">
      <alignment shrinkToFit="0" vertical="bottom" wrapText="0"/>
    </xf>
    <xf borderId="6" fillId="0" fontId="1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0" fillId="2" fontId="5" numFmtId="0" xfId="0" applyAlignment="1" applyFont="1">
      <alignment horizontal="center" vertical="bottom"/>
    </xf>
    <xf borderId="0" fillId="4" fontId="5" numFmtId="0" xfId="0" applyAlignment="1" applyFill="1" applyFont="1">
      <alignment horizontal="center" vertical="bottom"/>
    </xf>
    <xf borderId="1" fillId="3" fontId="6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14" fillId="0" fontId="1" numFmtId="0" xfId="0" applyBorder="1" applyFont="1"/>
    <xf borderId="13" fillId="0" fontId="1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15" fillId="0" fontId="1" numFmtId="0" xfId="0" applyAlignment="1" applyBorder="1" applyFont="1">
      <alignment vertical="bottom"/>
    </xf>
    <xf borderId="16" fillId="0" fontId="7" numFmtId="0" xfId="0" applyAlignment="1" applyBorder="1" applyFont="1">
      <alignment horizontal="right" vertical="bottom"/>
    </xf>
    <xf borderId="17" fillId="0" fontId="1" numFmtId="0" xfId="0" applyBorder="1" applyFont="1"/>
    <xf borderId="16" fillId="0" fontId="1" numFmtId="0" xfId="0" applyBorder="1" applyFont="1"/>
    <xf borderId="18" fillId="0" fontId="1" numFmtId="0" xfId="0" applyBorder="1" applyFont="1"/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19" fillId="4" fontId="9" numFmtId="0" xfId="0" applyAlignment="1" applyBorder="1" applyFont="1">
      <alignment horizontal="center" vertical="bottom"/>
    </xf>
    <xf borderId="20" fillId="5" fontId="6" numFmtId="0" xfId="0" applyAlignment="1" applyBorder="1" applyFill="1" applyFont="1">
      <alignment vertical="bottom"/>
    </xf>
    <xf borderId="1" fillId="5" fontId="6" numFmtId="0" xfId="0" applyAlignment="1" applyBorder="1" applyFont="1">
      <alignment vertical="bottom"/>
    </xf>
    <xf borderId="2" fillId="5" fontId="6" numFmtId="0" xfId="0" applyAlignment="1" applyBorder="1" applyFont="1">
      <alignment vertical="bottom"/>
    </xf>
    <xf borderId="21" fillId="5" fontId="6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10" fillId="0" fontId="7" numFmtId="0" xfId="0" applyAlignment="1" applyBorder="1" applyFont="1">
      <alignment horizontal="right" vertical="bottom"/>
    </xf>
    <xf borderId="15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9.13"/>
    <col customWidth="1" min="3" max="3" width="21.38"/>
    <col customWidth="1" min="4" max="7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</v>
      </c>
      <c r="B4" s="3" t="s">
        <v>2</v>
      </c>
      <c r="C4" s="4" t="s">
        <v>3</v>
      </c>
      <c r="D4" s="3" t="s">
        <v>4</v>
      </c>
      <c r="E4" s="4" t="s">
        <v>5</v>
      </c>
      <c r="F4" s="3" t="s">
        <v>6</v>
      </c>
      <c r="G4" s="3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/>
      <c r="B5" s="6"/>
      <c r="C5" s="1"/>
      <c r="D5" s="6"/>
      <c r="E5" s="1"/>
      <c r="F5" s="6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 t="s">
        <v>8</v>
      </c>
      <c r="B6" s="8">
        <v>1302.3</v>
      </c>
      <c r="C6" s="9">
        <v>1559.2</v>
      </c>
      <c r="D6" s="10">
        <v>1221.05</v>
      </c>
      <c r="E6" s="9">
        <v>1292.47</v>
      </c>
      <c r="F6" s="10">
        <v>1273.6</v>
      </c>
      <c r="G6" s="10">
        <v>1184.08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2"/>
      <c r="C7" s="13"/>
      <c r="D7" s="14"/>
      <c r="E7" s="13"/>
      <c r="F7" s="14"/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9</v>
      </c>
      <c r="B8" s="8">
        <v>2094.0</v>
      </c>
      <c r="C8" s="9">
        <v>3280.0</v>
      </c>
      <c r="D8" s="10">
        <v>4164.85</v>
      </c>
      <c r="E8" s="9">
        <v>3793.4</v>
      </c>
      <c r="F8" s="10">
        <v>3256.7</v>
      </c>
      <c r="G8" s="10">
        <v>3738.35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/>
      <c r="B9" s="12"/>
      <c r="C9" s="13"/>
      <c r="D9" s="14"/>
      <c r="E9" s="13"/>
      <c r="F9" s="14"/>
      <c r="G9" s="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10</v>
      </c>
      <c r="B10" s="8">
        <v>1390.4</v>
      </c>
      <c r="C10" s="9">
        <v>1272.6</v>
      </c>
      <c r="D10" s="10">
        <v>1082.8</v>
      </c>
      <c r="E10" s="9">
        <v>1329.02</v>
      </c>
      <c r="F10" s="15">
        <v>980.3</v>
      </c>
      <c r="G10" s="15">
        <v>985.29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/>
      <c r="B11" s="12"/>
      <c r="C11" s="13"/>
      <c r="D11" s="14"/>
      <c r="E11" s="13"/>
      <c r="F11" s="14"/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 t="s">
        <v>11</v>
      </c>
      <c r="B12" s="8">
        <v>1034.0</v>
      </c>
      <c r="C12" s="9">
        <v>1656.1</v>
      </c>
      <c r="D12" s="10">
        <v>1916.75</v>
      </c>
      <c r="E12" s="9">
        <v>1542.9</v>
      </c>
      <c r="F12" s="10">
        <v>1508.2</v>
      </c>
      <c r="G12" s="10">
        <v>1887.75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/>
      <c r="B13" s="12"/>
      <c r="C13" s="13"/>
      <c r="D13" s="14"/>
      <c r="E13" s="13"/>
      <c r="F13" s="14"/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12</v>
      </c>
      <c r="B14" s="8">
        <v>1038.95</v>
      </c>
      <c r="C14" s="16">
        <v>966.3</v>
      </c>
      <c r="D14" s="15">
        <v>799.65</v>
      </c>
      <c r="E14" s="16">
        <v>642.05</v>
      </c>
      <c r="F14" s="15">
        <v>613.7</v>
      </c>
      <c r="G14" s="15">
        <v>460.45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/>
      <c r="B15" s="17"/>
      <c r="C15" s="18"/>
      <c r="D15" s="17"/>
      <c r="E15" s="18"/>
      <c r="F15" s="17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9" t="s">
        <v>13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0"/>
      <c r="B20" s="20"/>
      <c r="C20" s="20"/>
      <c r="D20" s="20"/>
      <c r="E20" s="20"/>
      <c r="F20" s="20"/>
      <c r="G20" s="2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0"/>
      <c r="B21" s="20"/>
      <c r="C21" s="20"/>
      <c r="D21" s="20"/>
      <c r="E21" s="20"/>
      <c r="F21" s="20"/>
      <c r="G21" s="2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0"/>
      <c r="B22" s="20"/>
      <c r="C22" s="20"/>
      <c r="D22" s="20"/>
      <c r="E22" s="20"/>
      <c r="F22" s="20"/>
      <c r="G22" s="2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1</v>
      </c>
      <c r="B23" s="21" t="s">
        <v>14</v>
      </c>
      <c r="C23" s="4" t="s">
        <v>3</v>
      </c>
      <c r="D23" s="3" t="s">
        <v>4</v>
      </c>
      <c r="E23" s="4" t="s">
        <v>5</v>
      </c>
      <c r="F23" s="3" t="s">
        <v>6</v>
      </c>
      <c r="G23" s="3" t="s">
        <v>7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3"/>
      <c r="B24" s="24"/>
      <c r="C24" s="25"/>
      <c r="D24" s="24"/>
      <c r="E24" s="25"/>
      <c r="F24" s="24"/>
      <c r="G24" s="2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7"/>
      <c r="B25" s="28"/>
      <c r="C25" s="13"/>
      <c r="D25" s="14"/>
      <c r="E25" s="13"/>
      <c r="F25" s="14"/>
      <c r="G25" s="2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0" t="s">
        <v>8</v>
      </c>
      <c r="B26" s="31">
        <v>100000.0</v>
      </c>
      <c r="C26" s="13">
        <f t="shared" ref="C26:G26" si="1">B26*B6/C6</f>
        <v>83523.60185</v>
      </c>
      <c r="D26" s="14">
        <f t="shared" si="1"/>
        <v>106654.1092</v>
      </c>
      <c r="E26" s="13">
        <f t="shared" si="1"/>
        <v>100760.5592</v>
      </c>
      <c r="F26" s="14">
        <f t="shared" si="1"/>
        <v>102253.4548</v>
      </c>
      <c r="G26" s="29">
        <f t="shared" si="1"/>
        <v>109984.1227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7"/>
      <c r="B27" s="28"/>
      <c r="C27" s="13"/>
      <c r="D27" s="14"/>
      <c r="E27" s="13"/>
      <c r="F27" s="14"/>
      <c r="G27" s="2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0" t="s">
        <v>9</v>
      </c>
      <c r="B28" s="31">
        <v>100000.0</v>
      </c>
      <c r="C28" s="13">
        <f t="shared" ref="C28:G28" si="2">B28*B8/C8</f>
        <v>63841.46341</v>
      </c>
      <c r="D28" s="14">
        <f t="shared" si="2"/>
        <v>50277.92117</v>
      </c>
      <c r="E28" s="13">
        <f t="shared" si="2"/>
        <v>55201.13882</v>
      </c>
      <c r="F28" s="14">
        <f t="shared" si="2"/>
        <v>64298.21599</v>
      </c>
      <c r="G28" s="29">
        <f t="shared" si="2"/>
        <v>56014.01688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7"/>
      <c r="B29" s="28"/>
      <c r="C29" s="13"/>
      <c r="D29" s="14"/>
      <c r="E29" s="13"/>
      <c r="F29" s="14"/>
      <c r="G29" s="2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0" t="s">
        <v>10</v>
      </c>
      <c r="B30" s="31">
        <v>100000.0</v>
      </c>
      <c r="C30" s="13">
        <f t="shared" ref="C30:G30" si="3">B30*B10/C10</f>
        <v>109256.6399</v>
      </c>
      <c r="D30" s="14">
        <f t="shared" si="3"/>
        <v>128407.8315</v>
      </c>
      <c r="E30" s="13">
        <f t="shared" si="3"/>
        <v>104618.4407</v>
      </c>
      <c r="F30" s="14">
        <f t="shared" si="3"/>
        <v>141834.1324</v>
      </c>
      <c r="G30" s="29">
        <f t="shared" si="3"/>
        <v>141115.8136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7"/>
      <c r="B31" s="28"/>
      <c r="C31" s="13"/>
      <c r="D31" s="14"/>
      <c r="E31" s="13"/>
      <c r="F31" s="14"/>
      <c r="G31" s="2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0" t="s">
        <v>11</v>
      </c>
      <c r="B32" s="31">
        <v>100000.0</v>
      </c>
      <c r="C32" s="13">
        <f t="shared" ref="C32:G32" si="4">B32*B12/C12</f>
        <v>62435.84325</v>
      </c>
      <c r="D32" s="14">
        <f t="shared" si="4"/>
        <v>53945.48063</v>
      </c>
      <c r="E32" s="13">
        <f t="shared" si="4"/>
        <v>67016.65694</v>
      </c>
      <c r="F32" s="14">
        <f t="shared" si="4"/>
        <v>68558.54661</v>
      </c>
      <c r="G32" s="29">
        <f t="shared" si="4"/>
        <v>54774.20209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7"/>
      <c r="B33" s="28"/>
      <c r="C33" s="13"/>
      <c r="D33" s="14"/>
      <c r="E33" s="13"/>
      <c r="F33" s="14"/>
      <c r="G33" s="2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2" t="s">
        <v>12</v>
      </c>
      <c r="B34" s="33">
        <v>100000.0</v>
      </c>
      <c r="C34" s="34">
        <f t="shared" ref="C34:G34" si="5">B34*B14/C14</f>
        <v>107518.369</v>
      </c>
      <c r="D34" s="35">
        <f t="shared" si="5"/>
        <v>129925.5924</v>
      </c>
      <c r="E34" s="34">
        <f t="shared" si="5"/>
        <v>161817.6155</v>
      </c>
      <c r="F34" s="35">
        <f t="shared" si="5"/>
        <v>169292.8141</v>
      </c>
      <c r="G34" s="36">
        <f t="shared" si="5"/>
        <v>225637.9629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7" t="s">
        <v>15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8"/>
      <c r="B39" s="38"/>
      <c r="C39" s="38"/>
      <c r="D39" s="38"/>
      <c r="E39" s="38"/>
      <c r="F39" s="3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8"/>
      <c r="B40" s="38"/>
      <c r="C40" s="38"/>
      <c r="D40" s="38"/>
      <c r="E40" s="38"/>
      <c r="F40" s="3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0" t="s">
        <v>16</v>
      </c>
      <c r="B41" s="41" t="s">
        <v>17</v>
      </c>
      <c r="C41" s="42" t="s">
        <v>18</v>
      </c>
      <c r="D41" s="41" t="s">
        <v>19</v>
      </c>
      <c r="E41" s="42" t="s">
        <v>20</v>
      </c>
      <c r="F41" s="41" t="s">
        <v>21</v>
      </c>
      <c r="G41" s="43" t="s">
        <v>22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4" t="s">
        <v>23</v>
      </c>
      <c r="B42" s="45">
        <v>100000.0</v>
      </c>
      <c r="C42" s="25">
        <f t="shared" ref="C42:G42" si="6">B42*(1+3%)</f>
        <v>103000</v>
      </c>
      <c r="D42" s="24">
        <f t="shared" si="6"/>
        <v>106090</v>
      </c>
      <c r="E42" s="25">
        <f t="shared" si="6"/>
        <v>109272.7</v>
      </c>
      <c r="F42" s="24">
        <f t="shared" si="6"/>
        <v>112550.881</v>
      </c>
      <c r="G42" s="26">
        <f t="shared" si="6"/>
        <v>115927.4074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7" t="s">
        <v>24</v>
      </c>
      <c r="B43" s="31">
        <v>100000.0</v>
      </c>
      <c r="C43" s="13">
        <f t="shared" ref="C43:G43" si="7">B43*(1+7%)</f>
        <v>107000</v>
      </c>
      <c r="D43" s="14">
        <f t="shared" si="7"/>
        <v>114490</v>
      </c>
      <c r="E43" s="13">
        <f t="shared" si="7"/>
        <v>122504.3</v>
      </c>
      <c r="F43" s="14">
        <f t="shared" si="7"/>
        <v>131079.601</v>
      </c>
      <c r="G43" s="29">
        <f t="shared" si="7"/>
        <v>140255.1731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6" t="s">
        <v>25</v>
      </c>
      <c r="B44" s="33">
        <v>100000.0</v>
      </c>
      <c r="C44" s="34">
        <f t="shared" ref="C44:G44" si="8">C26</f>
        <v>83523.60185</v>
      </c>
      <c r="D44" s="35">
        <f t="shared" si="8"/>
        <v>106654.1092</v>
      </c>
      <c r="E44" s="34">
        <f t="shared" si="8"/>
        <v>100760.5592</v>
      </c>
      <c r="F44" s="35">
        <f t="shared" si="8"/>
        <v>102253.4548</v>
      </c>
      <c r="G44" s="36">
        <f t="shared" si="8"/>
        <v>109984.1227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3">
    <mergeCell ref="A2:G2"/>
    <mergeCell ref="A19:G19"/>
    <mergeCell ref="A38:G38"/>
  </mergeCells>
  <drawing r:id="rId1"/>
</worksheet>
</file>